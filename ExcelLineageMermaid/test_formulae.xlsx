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connections.xml" ContentType="application/vnd.openxmlformats-officedocument.spreadsheetml.connections+xml"/>
  <Override PartName="/xl/customXml/item1.xml" ContentType="application/xml"/>
  <Override PartName="/xl/customXml/itemProps1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Assumptions" sheetId="2" state="visible" r:id="rId2"/>
    <sheet name="Revenue" sheetId="3" state="visible" r:id="rId3"/>
    <sheet name="COGS" sheetId="4" state="visible" r:id="rId4"/>
    <sheet name="OpEx" sheetId="5" state="visible" r:id="rId5"/>
    <sheet name="EBITDA" sheetId="6" state="visible" r:id="rId6"/>
    <sheet name="Tax" sheetId="7" state="visible" r:id="rId7"/>
    <sheet name="NetIncome" sheetId="8" state="visible" r:id="rId8"/>
    <sheet name="CashFlow" sheetId="9" state="visible" r:id="rId9"/>
    <sheet name="Summary" sheetId="10" state="visible" r:id="rId10"/>
  </sheets>
  <definedNames/>
  <calcPr calcId="124519" fullCalcOnLoad="1"/>
</workbook>
</file>

<file path=xl/connections.xml><?xml version="1.0" encoding="utf-8"?>
<connections xmlns="http://schemas.openxmlformats.org/spreadsheetml/2006/main">
  <!-- ===== ODBC Connections ===== -->
  <connection id="1" name="SalesDB_ODBC" keepAlive="0" new="0" description="ODBC to SQL Server ODS - dbo.fact_transactions" type="2" refreshedVersion="0" minRefreshableVersion="0" savePassword="0">
    <dbPr connection="DSN=SalesDB_PROD;Server=sqlserver01.corp.local;Database=SalesODS;UID=svc_excel;Trusted_Connection=Yes" command="SELECT year, quarter, product_id, units, revenue, cogs FROM dbo.fact_transactions WHERE year &gt;= 2023" commandType="2"/>
  </connection>
  <connection id="2" name="Analytics_PG_ODBC" keepAlive="0" new="0" description="ODBC to PostgreSQL analytics_dw - vw_customer_metrics" type="2" refreshedVersion="0" minRefreshableVersion="0" savePassword="0">
    <dbPr connection="DSN=AnalyticsPG;Host=pgserver01.corp.local;Port=5432;Database=analytics_dw;UID=rpt_user" command="SELECT customer_id, segment, ltv, revenue_ytd, churn_score FROM public.vw_customer_metrics" commandType="2"/>
  </connection>
  <connection id="3" name="FinanceDB_ODBC" keepAlive="0" new="0" description="ODBC to SQL Server FinancePlanning - budget_lines" type="2" refreshedVersion="0" minRefreshableVersion="0" savePassword="0">
    <dbPr connection="DSN=FinanceDB;Server=sqlserver02.corp.local;Database=FinancePlanning;UID=svc_excel;Trusted_Connection=Yes" command="SELECT scenario, account, period, amount FROM finance.budget_lines WHERE fiscal_year = 2025" commandType="2"/>
  </connection>
  <!-- ===== Power Query (Mashup) Connections - type=5 ===== -->
  <connection id="4" name="Query - Products" keepAlive="0" new="0" description="PQ: Products master from shared CSV on OneDrive" type="5" refreshedVersion="6" minRefreshableVersion="6" saveData="0" background="0" deleted="0"/>
  <connection id="5" name="Query - CustomerMetrics" keepAlive="0" new="0" description="PQ: Customer metrics joined from Analytics_PG_ODBC + Products query" type="5" refreshedVersion="6" minRefreshableVersion="6" saveData="0" background="0" deleted="0"/>
  <connection id="6" name="Query - BudgetActuals" keepAlive="0" new="0" description="PQ: Budget vs Actuals joined from FinanceDB_ODBC + Revenue sheet" type="5" refreshedVersion="6" minRefreshableVersion="6" saveData="0" background="0" deleted="0"/>
  <connection id="7" name="Query - ExchangeRates" keepAlive="0" new="0" description="PQ: FX rates from internal REST API (JSON)" type="5" refreshedVersion="6" minRefreshableVersion="6" saveData="0" background="0" deleted="0"/>
</connection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Relationship Id="rIdConn" Type="http://schemas.openxmlformats.org/officeDocument/2006/relationships/connections" Target="connections.xml"/>
  <Relationship Id="rIdCXml1" Type="http://schemas.openxmlformats.org/officeDocument/2006/relationships/customXml" Target="customXml/item1.xml"/>
</Relationships>
</file>

<file path=xl/customXml/_rels/item1.xml.rels><?xml version="1.0" encoding="UTF-8" standalone="yes"?>
<Relationships xmlns="http://schemas.openxmlformats.org/package/2006/relationships">
  <Relationship Id="rId1"
    Type="http://schemas.openxmlformats.org/officeDocument/2006/relationships/customXmlProps"
    Target="itemProps1.xml"/>
</Relationships>

</file>

<file path=xl/customXml/item1.xml><?xml version="1.0" encoding="utf-8"?>
<Formulas xmlns="urn:MicrosoftPowerQueryFormulas">
  <Query name="Products">
    <Formula><![CDATA[
let
    Source      = Csv.Document(
                    File.Contents("https://onedrive.corp.local/shared/products_master.csv"),
                    [Delimiter=",", Columns=5, Encoding=65001, QuoteStyle=QuoteStyle.None]),
    Promoted    = Table.PromoteHeaders(Source, [PromoteAllScalars=true]),
    TypedTable  = Table.TransformColumnTypes(Promoted, {
                    {"ProductID", Int64.Type}, {"Name", type text},
                    {"Category", type text},   {"UnitCost", Currency.Type},
                    {"UnitPrice", Currency.Type}})
in
    TypedTable
    ]]></Formula>
  </Query>
  <Query name="CustomerMetrics">
    <Formula><![CDATA[
let
    DBSource  = Odbc.Query(
                  "DSN=AnalyticsPG;Host=pgserver01.corp.local;Database=analytics_dw",
                  "SELECT customer_id, segment, ltv, revenue_ytd, churn_score
                   FROM public.vw_customer_metrics"),
    Products  = Excel.CurrentWorkbook(){[Name="Products"]}[Content],
    Joined    = Table.NestedJoin(DBSource, {"product_id"}, Products, {"ProductID"},
                  "ProductDetails", JoinKind.LeftOuter),
    Expanded  = Table.ExpandTableColumn(Joined, "ProductDetails", {"Name", "Category"})
in
    Expanded
    ]]></Formula>
  </Query>
  <Query name="BudgetActuals">
    <Formula><![CDATA[
let
    BudgetSrc = Odbc.Query(
                  "DSN=FinanceDB;Server=sqlserver02.corp.local;Database=FinancePlanning",
                  "SELECT scenario, account, period, amount
                   FROM finance.budget_lines WHERE fiscal_year = 2025"),
    RevSheet  = Excel.CurrentWorkbook(){[Name="Revenue"]}[Content],
    Merged    = Table.NestedJoin(BudgetSrc, {"account","period"},
                  RevSheet, {"account","period"}, "Actuals", JoinKind.LeftOuter),
    Variance  = Table.AddColumn(Merged, "Variance",
                  each [amount] - Record.Field([Actuals]{0}? ?? [], "revenue"), Currency.Type)
in
    Variance
    ]]></Formula>
  </Query>
  <Query name="ExchangeRates">
    <Formula><![CDATA[
let
    Source  = Json.Document(Web.Contents("https://api.fxrates.corp.local/v1/latest?base=USD")),
    Rates   = Record.ToTable(Source[rates]),
    Renamed = Table.RenameColumns(Rates, {{"Name", "Currency"}, {"Value", "Rate"}}),
    Typed   = Table.TransformColumnTypes(Renamed, {{"Currency", type text}, {"Rate", type number}})
in
    Typed
    ]]></Formula>
  </Query>
</Formulas>
</file>

<file path=xl/customXml/itemProps1.xml><?xml version="1.0" encoding="utf-8"?>
<ds:datastoreItem xmlns:ds="http://schemas.openxmlformats.org/officeDocument/2006/customXml" ds:itemID="{B3F12345-ABCD-4321-8EFD-A00000000001}">
  <ds:schemaRefs>
    <ds:schemaRef ds:uri="urn:MicrosoftPowerQueryFormulas"/>
  </ds:schemaRefs>
</ds:datastoreItem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</t>
        </is>
      </c>
      <c r="C1" t="inlineStr">
        <is>
          <t>Price</t>
        </is>
      </c>
      <c r="D1" t="inlineStr">
        <is>
          <t>Cost</t>
        </is>
      </c>
    </row>
    <row r="2">
      <c r="A2" t="inlineStr">
        <is>
          <t>Widget A</t>
        </is>
      </c>
      <c r="B2" t="n">
        <v>1000</v>
      </c>
      <c r="C2" t="n">
        <v>50</v>
      </c>
      <c r="D2" t="n">
        <v>20</v>
      </c>
    </row>
    <row r="3">
      <c r="A3" t="inlineStr">
        <is>
          <t>Widget B</t>
        </is>
      </c>
      <c r="B3" t="n">
        <v>800</v>
      </c>
      <c r="C3" t="n">
        <v>75</v>
      </c>
      <c r="D3" t="n">
        <v>30</v>
      </c>
    </row>
    <row r="4">
      <c r="A4" t="inlineStr">
        <is>
          <t>Widget C</t>
        </is>
      </c>
      <c r="B4" t="n">
        <v>1200</v>
      </c>
      <c r="C4" t="n">
        <v>40</v>
      </c>
      <c r="D4" t="n">
        <v>15</v>
      </c>
    </row>
    <row r="5">
      <c r="A5" t="inlineStr">
        <is>
          <t>Widget D</t>
        </is>
      </c>
      <c r="B5" t="n">
        <v>500</v>
      </c>
      <c r="C5" t="n">
        <v>120</v>
      </c>
      <c r="D5" t="n">
        <v>50</v>
      </c>
    </row>
    <row r="6">
      <c r="A6" t="inlineStr">
        <is>
          <t>Widget E</t>
        </is>
      </c>
      <c r="B6" t="n">
        <v>2000</v>
      </c>
      <c r="C6" t="n">
        <v>25</v>
      </c>
      <c r="D6" t="n">
        <v>10</v>
      </c>
    </row>
    <row r="8">
      <c r="B8">
        <f>SUM(B2:B6)</f>
        <v/>
      </c>
      <c r="C8">
        <f>AVERAGE(C2:C6)</f>
        <v/>
      </c>
      <c r="D8">
        <f>AVERAGE(D2:D6)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GrowthRate</t>
        </is>
      </c>
      <c r="B2" t="n">
        <v>0.05</v>
      </c>
    </row>
    <row r="3">
      <c r="A3" t="inlineStr">
        <is>
          <t>TaxRate</t>
        </is>
      </c>
      <c r="B3" t="n">
        <v>0.21</v>
      </c>
    </row>
    <row r="4">
      <c r="A4" t="inlineStr">
        <is>
          <t>DiscountRate</t>
        </is>
      </c>
      <c r="B4" t="n">
        <v>0.08</v>
      </c>
    </row>
    <row r="5">
      <c r="A5" t="inlineStr">
        <is>
          <t>COGS_pct</t>
        </is>
      </c>
      <c r="B5" t="n">
        <v>0.4</v>
      </c>
    </row>
    <row r="6">
      <c r="A6" t="inlineStr">
        <is>
          <t>OpEx_pct</t>
        </is>
      </c>
      <c r="B6" t="n">
        <v>0.25</v>
      </c>
    </row>
    <row r="7">
      <c r="A7" t="inlineStr">
        <is>
          <t>DepreciationM</t>
        </is>
      </c>
      <c r="B7" t="n">
        <v>500</v>
      </c>
    </row>
    <row r="8">
      <c r="A8" t="inlineStr">
        <is>
          <t>InterestM</t>
        </is>
      </c>
      <c r="B8" t="n">
        <v>200</v>
      </c>
    </row>
    <row r="9">
      <c r="A9" t="inlineStr">
        <is>
          <t>OtherIncome</t>
        </is>
      </c>
      <c r="B9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Base Revenue</t>
        </is>
      </c>
      <c r="C1" t="inlineStr">
        <is>
          <t>Growth Adj</t>
        </is>
      </c>
      <c r="D1" t="inlineStr">
        <is>
          <t>Total Revenue</t>
        </is>
      </c>
    </row>
    <row r="2">
      <c r="A2">
        <f>RawData!A2</f>
        <v/>
      </c>
      <c r="B2">
        <f>RawData!B2*RawData!C2</f>
        <v/>
      </c>
      <c r="C2">
        <f>B2*(1+Assumptions!B2)</f>
        <v/>
      </c>
      <c r="D2">
        <f>B2+C2</f>
        <v/>
      </c>
    </row>
    <row r="3">
      <c r="A3">
        <f>RawData!A3</f>
        <v/>
      </c>
      <c r="B3">
        <f>RawData!B3*RawData!C3</f>
        <v/>
      </c>
      <c r="C3">
        <f>B3*(1+Assumptions!B2)</f>
        <v/>
      </c>
      <c r="D3">
        <f>B3+C3</f>
        <v/>
      </c>
    </row>
    <row r="4">
      <c r="A4">
        <f>RawData!A4</f>
        <v/>
      </c>
      <c r="B4">
        <f>RawData!B4*RawData!C4</f>
        <v/>
      </c>
      <c r="C4">
        <f>B4*(1+Assumptions!B2)</f>
        <v/>
      </c>
      <c r="D4">
        <f>B4+C4</f>
        <v/>
      </c>
    </row>
    <row r="5">
      <c r="A5">
        <f>RawData!A5</f>
        <v/>
      </c>
      <c r="B5">
        <f>RawData!B5*RawData!C5</f>
        <v/>
      </c>
      <c r="C5">
        <f>B5*(1+Assumptions!B2)</f>
        <v/>
      </c>
      <c r="D5">
        <f>B5+C5</f>
        <v/>
      </c>
    </row>
    <row r="6">
      <c r="A6">
        <f>RawData!A6</f>
        <v/>
      </c>
      <c r="B6">
        <f>RawData!B6*RawData!C6</f>
        <v/>
      </c>
      <c r="C6">
        <f>B6*(1+Assumptions!B2)</f>
        <v/>
      </c>
      <c r="D6">
        <f>B6+C6</f>
        <v/>
      </c>
    </row>
    <row r="8">
      <c r="B8">
        <f>SUM(B2:B6)</f>
        <v/>
      </c>
      <c r="C8">
        <f>SUM(C2:C6)</f>
        <v/>
      </c>
      <c r="D8">
        <f>SUM(D2:D6)</f>
        <v/>
      </c>
    </row>
    <row r="10">
      <c r="D10" t="inlineStr">
        <is>
          <t>Total</t>
        </is>
      </c>
    </row>
    <row r="11">
      <c r="D11">
        <f>D8</f>
        <v/>
      </c>
    </row>
    <row r="13">
      <c r="A13" t="inlineStr">
        <is>
          <t>Ext Budget Ref</t>
        </is>
      </c>
      <c r="B13">
        <f>'[Budget_2026.xlsx]Forecast'!B5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</t>
        </is>
      </c>
      <c r="C1" t="inlineStr">
        <is>
          <t>Unit Cost</t>
        </is>
      </c>
      <c r="D1" t="inlineStr">
        <is>
          <t>Total COGS</t>
        </is>
      </c>
    </row>
    <row r="2">
      <c r="A2">
        <f>RawData!A2</f>
        <v/>
      </c>
      <c r="B2">
        <f>RawData!B2</f>
        <v/>
      </c>
      <c r="C2">
        <f>RawData!D2</f>
        <v/>
      </c>
      <c r="D2">
        <f>B2*C2</f>
        <v/>
      </c>
    </row>
    <row r="3">
      <c r="A3">
        <f>RawData!A3</f>
        <v/>
      </c>
      <c r="B3">
        <f>RawData!B3</f>
        <v/>
      </c>
      <c r="C3">
        <f>RawData!D3</f>
        <v/>
      </c>
      <c r="D3">
        <f>B3*C3</f>
        <v/>
      </c>
    </row>
    <row r="4">
      <c r="A4">
        <f>RawData!A4</f>
        <v/>
      </c>
      <c r="B4">
        <f>RawData!B4</f>
        <v/>
      </c>
      <c r="C4">
        <f>RawData!D4</f>
        <v/>
      </c>
      <c r="D4">
        <f>B4*C4</f>
        <v/>
      </c>
    </row>
    <row r="5">
      <c r="A5">
        <f>RawData!A5</f>
        <v/>
      </c>
      <c r="B5">
        <f>RawData!B5</f>
        <v/>
      </c>
      <c r="C5">
        <f>RawData!D5</f>
        <v/>
      </c>
      <c r="D5">
        <f>B5*C5</f>
        <v/>
      </c>
    </row>
    <row r="6">
      <c r="A6">
        <f>RawData!A6</f>
        <v/>
      </c>
      <c r="B6">
        <f>RawData!B6</f>
        <v/>
      </c>
      <c r="C6">
        <f>RawData!D6</f>
        <v/>
      </c>
      <c r="D6">
        <f>B6*C6</f>
        <v/>
      </c>
    </row>
    <row r="8">
      <c r="D8">
        <f>SUM(D2:D6)</f>
        <v/>
      </c>
    </row>
    <row r="10">
      <c r="B10" t="inlineStr">
        <is>
          <t>COGS % Check</t>
        </is>
      </c>
      <c r="C10">
        <f>D8/Revenue!D8</f>
        <v/>
      </c>
      <c r="D10">
        <f>Assumptions!B4</f>
        <v/>
      </c>
    </row>
    <row r="13">
      <c r="A13" t="inlineStr">
        <is>
          <t>Ext Cost Ref</t>
        </is>
      </c>
      <c r="B13">
        <f>'[Suppliers.xlsx]Costs'!C10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Salaries</t>
        </is>
      </c>
      <c r="B2">
        <f>Revenue!D8*0.15</f>
        <v/>
      </c>
    </row>
    <row r="3">
      <c r="A3" t="inlineStr">
        <is>
          <t>Marketing</t>
        </is>
      </c>
      <c r="B3">
        <f>Revenue!D8*Assumptions!B5*0.4</f>
        <v/>
      </c>
    </row>
    <row r="4">
      <c r="A4" t="inlineStr">
        <is>
          <t>R&amp;D</t>
        </is>
      </c>
      <c r="B4">
        <f>Revenue!D8*0.05</f>
        <v/>
      </c>
    </row>
    <row r="5">
      <c r="A5" t="inlineStr">
        <is>
          <t>Admin</t>
        </is>
      </c>
      <c r="B5">
        <f>Revenue!D8*0.03</f>
        <v/>
      </c>
    </row>
    <row r="6">
      <c r="A6" t="inlineStr">
        <is>
          <t>Facilities</t>
        </is>
      </c>
      <c r="B6">
        <f>Assumptions!B6</f>
        <v/>
      </c>
    </row>
    <row r="8">
      <c r="B8">
        <f>SUM(B2:B6)</f>
        <v/>
      </c>
    </row>
    <row r="10">
      <c r="A10" t="inlineStr">
        <is>
          <t>Depreciation</t>
        </is>
      </c>
      <c r="B10">
        <f>Assumptions!B6</f>
        <v/>
      </c>
    </row>
    <row r="11">
      <c r="A11" t="inlineStr">
        <is>
          <t>Total w/ Dep</t>
        </is>
      </c>
      <c r="B11">
        <f>B8+B10</f>
        <v/>
      </c>
    </row>
    <row r="13">
      <c r="A13" t="inlineStr">
        <is>
          <t>Ext Headcount</t>
        </is>
      </c>
      <c r="B13">
        <f>'[HR_Model.xlsx]Headcount'!D15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</row>
    <row r="2">
      <c r="A2" t="inlineStr">
        <is>
          <t>Revenue</t>
        </is>
      </c>
      <c r="B2">
        <f>Revenue!D8</f>
        <v/>
      </c>
    </row>
    <row r="3">
      <c r="A3" t="inlineStr">
        <is>
          <t>COGS</t>
        </is>
      </c>
      <c r="B3">
        <f>COGS!D8</f>
        <v/>
      </c>
    </row>
    <row r="4">
      <c r="A4" t="inlineStr">
        <is>
          <t>Gross Profit</t>
        </is>
      </c>
      <c r="B4">
        <f>B2-B3</f>
        <v/>
      </c>
    </row>
    <row r="5">
      <c r="A5" t="inlineStr">
        <is>
          <t>Gross Margin</t>
        </is>
      </c>
      <c r="B5">
        <f>B4/B2</f>
        <v/>
      </c>
    </row>
    <row r="6">
      <c r="A6" t="inlineStr">
        <is>
          <t>OpEx</t>
        </is>
      </c>
      <c r="B6">
        <f>OpEx!B8</f>
        <v/>
      </c>
    </row>
    <row r="7">
      <c r="A7" t="inlineStr">
        <is>
          <t>EBITDA</t>
        </is>
      </c>
      <c r="B7">
        <f>B4-B6</f>
        <v/>
      </c>
    </row>
    <row r="8">
      <c r="A8" t="inlineStr">
        <is>
          <t>EBITDA Margin</t>
        </is>
      </c>
      <c r="B8">
        <f>B7/B2</f>
        <v/>
      </c>
    </row>
    <row r="10">
      <c r="A10" t="inlineStr">
        <is>
          <t>Interest</t>
        </is>
      </c>
      <c r="B10">
        <f>Assumptions!B7</f>
        <v/>
      </c>
    </row>
    <row r="11">
      <c r="A11" t="inlineStr">
        <is>
          <t>EBIT</t>
        </is>
      </c>
      <c r="B11">
        <f>B7-B10</f>
        <v/>
      </c>
    </row>
    <row r="13">
      <c r="A13" t="inlineStr">
        <is>
          <t>Ext Benchmark</t>
        </is>
      </c>
      <c r="B13">
        <f>'[Industry_Benchmarks.xlsx]EBITDA'!C7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</row>
    <row r="2">
      <c r="A2" t="inlineStr">
        <is>
          <t>EBIT</t>
        </is>
      </c>
      <c r="B2">
        <f>EBITDA!B11</f>
        <v/>
      </c>
    </row>
    <row r="3">
      <c r="A3" t="inlineStr">
        <is>
          <t>Tax Rate</t>
        </is>
      </c>
      <c r="B3">
        <f>Assumptions!B3</f>
        <v/>
      </c>
    </row>
    <row r="4">
      <c r="A4" t="inlineStr">
        <is>
          <t>Tax Provision</t>
        </is>
      </c>
      <c r="B4">
        <f>B2*B3</f>
        <v/>
      </c>
    </row>
    <row r="5">
      <c r="A5" t="inlineStr">
        <is>
          <t>DTA Adjustment</t>
        </is>
      </c>
      <c r="B5">
        <f>B4*0.05</f>
        <v/>
      </c>
    </row>
    <row r="6">
      <c r="A6" t="inlineStr">
        <is>
          <t>Net Tax</t>
        </is>
      </c>
      <c r="B6">
        <f>B4-B5</f>
        <v/>
      </c>
    </row>
    <row r="7">
      <c r="A7" t="inlineStr">
        <is>
          <t>Effective Rate</t>
        </is>
      </c>
      <c r="B7">
        <f>B6/B2</f>
        <v/>
      </c>
    </row>
    <row r="9">
      <c r="A9" t="inlineStr">
        <is>
          <t>Ext Tax Guidance</t>
        </is>
      </c>
      <c r="B9">
        <f>'[Tax_Model.xlsx]Rates'!B12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</row>
    <row r="2">
      <c r="A2" t="inlineStr">
        <is>
          <t>EBIT</t>
        </is>
      </c>
      <c r="B2">
        <f>EBITDA!B11</f>
        <v/>
      </c>
    </row>
    <row r="3">
      <c r="A3" t="inlineStr">
        <is>
          <t>Tax</t>
        </is>
      </c>
      <c r="B3">
        <f>Tax!B6</f>
        <v/>
      </c>
    </row>
    <row r="4">
      <c r="A4" t="inlineStr">
        <is>
          <t>Other Income</t>
        </is>
      </c>
      <c r="B4">
        <f>Assumptions!B8</f>
        <v/>
      </c>
    </row>
    <row r="5">
      <c r="A5" t="inlineStr">
        <is>
          <t>Net Income</t>
        </is>
      </c>
      <c r="B5">
        <f>B2-B3+B4</f>
        <v/>
      </c>
    </row>
    <row r="6">
      <c r="A6" t="inlineStr">
        <is>
          <t>Net Margin</t>
        </is>
      </c>
      <c r="B6">
        <f>B5/Revenue!D8</f>
        <v/>
      </c>
    </row>
    <row r="7">
      <c r="A7" t="inlineStr">
        <is>
          <t>EPS (1M shares)</t>
        </is>
      </c>
      <c r="B7">
        <f>B5/1000000</f>
        <v/>
      </c>
    </row>
    <row r="8">
      <c r="A8" t="inlineStr">
        <is>
          <t>Retained Earnings</t>
        </is>
      </c>
      <c r="B8">
        <f>B5*0.6</f>
        <v/>
      </c>
    </row>
    <row r="9">
      <c r="A9" t="inlineStr">
        <is>
          <t>Dividends</t>
        </is>
      </c>
      <c r="B9">
        <f>B5*0.4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</row>
    <row r="2">
      <c r="A2" t="inlineStr">
        <is>
          <t>Net Income</t>
        </is>
      </c>
      <c r="B2">
        <f>NetIncome!B5</f>
        <v/>
      </c>
    </row>
    <row r="3">
      <c r="A3" t="inlineStr">
        <is>
          <t>Add: Depreciation</t>
        </is>
      </c>
      <c r="B3">
        <f>Assumptions!B6</f>
        <v/>
      </c>
    </row>
    <row r="4">
      <c r="A4" t="inlineStr">
        <is>
          <t>Change in WC</t>
        </is>
      </c>
      <c r="B4">
        <f>(COGS!D8+OpEx!B8)*(-0.05)</f>
        <v/>
      </c>
    </row>
    <row r="5">
      <c r="A5" t="inlineStr">
        <is>
          <t>Operating CF</t>
        </is>
      </c>
      <c r="B5">
        <f>B2+B3+B4</f>
        <v/>
      </c>
    </row>
    <row r="6">
      <c r="A6" t="inlineStr">
        <is>
          <t>CapEx</t>
        </is>
      </c>
      <c r="B6">
        <f>EBITDA!B7*0.08</f>
        <v/>
      </c>
    </row>
    <row r="7">
      <c r="A7" t="inlineStr">
        <is>
          <t>Free Cash Flow</t>
        </is>
      </c>
      <c r="B7">
        <f>B5-B6</f>
        <v/>
      </c>
    </row>
    <row r="8">
      <c r="A8" t="inlineStr">
        <is>
          <t>FCF Yield</t>
        </is>
      </c>
      <c r="B8">
        <f>B7/Revenue!D8</f>
        <v/>
      </c>
    </row>
    <row r="9">
      <c r="A9" t="inlineStr">
        <is>
          <t>Discounted FCF</t>
        </is>
      </c>
      <c r="B9">
        <f>B7/(1+Assumptions!B4)</f>
        <v/>
      </c>
    </row>
    <row r="11">
      <c r="A11" t="inlineStr">
        <is>
          <t>Ext Capex Plan</t>
        </is>
      </c>
      <c r="B11">
        <f>'[Capex_Schedule.xlsx]Plan'!E20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Dashboard</t>
        </is>
      </c>
    </row>
    <row r="3">
      <c r="A3" t="inlineStr">
        <is>
          <t>Metric</t>
        </is>
      </c>
      <c r="B3" t="inlineStr">
        <is>
          <t>Value</t>
        </is>
      </c>
      <c r="C3" t="inlineStr">
        <is>
          <t>vs Prior Year</t>
        </is>
      </c>
    </row>
    <row r="4">
      <c r="A4" t="inlineStr">
        <is>
          <t>Total Revenue</t>
        </is>
      </c>
      <c r="B4">
        <f>Revenue!D8</f>
        <v/>
      </c>
      <c r="C4">
        <f>'[Prior_Year.xlsx]Summary'!B4</f>
        <v/>
      </c>
    </row>
    <row r="5">
      <c r="A5" t="inlineStr">
        <is>
          <t>Gross Profit</t>
        </is>
      </c>
      <c r="B5">
        <f>EBITDA!B4</f>
        <v/>
      </c>
      <c r="C5">
        <f>'[Prior_Year.xlsx]Summary'!B5</f>
        <v/>
      </c>
    </row>
    <row r="6">
      <c r="A6" t="inlineStr">
        <is>
          <t>EBITDA</t>
        </is>
      </c>
      <c r="B6">
        <f>EBITDA!B7</f>
        <v/>
      </c>
      <c r="C6">
        <f>'[Prior_Year.xlsx]Summary'!B6</f>
        <v/>
      </c>
    </row>
    <row r="7">
      <c r="A7" t="inlineStr">
        <is>
          <t>Net Income</t>
        </is>
      </c>
      <c r="B7">
        <f>NetIncome!B5</f>
        <v/>
      </c>
      <c r="C7">
        <f>'[Prior_Year.xlsx]Summary'!B7</f>
        <v/>
      </c>
    </row>
    <row r="8">
      <c r="A8" t="inlineStr">
        <is>
          <t>Free Cash Flow</t>
        </is>
      </c>
      <c r="B8">
        <f>CashFlow!B7</f>
        <v/>
      </c>
      <c r="C8">
        <f>'[Prior_Year.xlsx]Summary'!B8</f>
        <v/>
      </c>
    </row>
    <row r="9">
      <c r="A9" t="inlineStr">
        <is>
          <t>COGS</t>
        </is>
      </c>
      <c r="B9">
        <f>COGS!D8</f>
        <v/>
      </c>
      <c r="C9">
        <f>'[Prior_Year.xlsx]Summary'!B9</f>
        <v/>
      </c>
    </row>
    <row r="10">
      <c r="A10" t="inlineStr">
        <is>
          <t>Total OpEx</t>
        </is>
      </c>
      <c r="B10">
        <f>OpEx!B8</f>
        <v/>
      </c>
      <c r="C10">
        <f>'[Prior_Year.xlsx]Summary'!B10</f>
        <v/>
      </c>
    </row>
    <row r="11">
      <c r="A11" t="inlineStr">
        <is>
          <t>Tax Provision</t>
        </is>
      </c>
      <c r="B11">
        <f>Tax!B4</f>
        <v/>
      </c>
      <c r="C11">
        <f>'[Prior_Year.xlsx]Summary'!B11</f>
        <v/>
      </c>
    </row>
    <row r="12">
      <c r="A12" t="inlineStr">
        <is>
          <t>Gross Margin %</t>
        </is>
      </c>
      <c r="B12">
        <f>EBITDA!B5</f>
        <v/>
      </c>
      <c r="C12">
        <f>'[Prior_Year.xlsx]Summary'!B12</f>
        <v/>
      </c>
    </row>
    <row r="13">
      <c r="A13" t="inlineStr">
        <is>
          <t>Net Margin %</t>
        </is>
      </c>
      <c r="B13">
        <f>NetIncome!B6</f>
        <v/>
      </c>
      <c r="C13">
        <f>'[Prior_Year.xlsx]Summary'!B13</f>
        <v/>
      </c>
    </row>
    <row r="15">
      <c r="A15" t="inlineStr">
        <is>
          <t>Assumptions Cross-check</t>
        </is>
      </c>
      <c r="B15">
        <f>Assumptions!B2</f>
        <v/>
      </c>
      <c r="C15">
        <f>Assumptions!B3</f>
        <v/>
      </c>
      <c r="D15">
        <f>Assumptions!B4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2026-03-17T06:06:16Z</dcterms:created>
  <dcterms:modified xsi:type="dcterms:W3CDTF">2026-03-17T06:06:16Z</dcterms:modified>
</cp:coreProperties>
</file>